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is_f\Desktop\"/>
    </mc:Choice>
  </mc:AlternateContent>
  <xr:revisionPtr revIDLastSave="0" documentId="13_ncr:1_{1ECDBD76-F524-46D3-AC25-593FBD41DF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cedim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" l="1"/>
  <c r="D45" i="1"/>
</calcChain>
</file>

<file path=xl/sharedStrings.xml><?xml version="1.0" encoding="utf-8"?>
<sst xmlns="http://schemas.openxmlformats.org/spreadsheetml/2006/main" count="147" uniqueCount="145">
  <si>
    <t>codigo_procedimento</t>
  </si>
  <si>
    <t>descricao_procedimento</t>
  </si>
  <si>
    <t>HON1</t>
  </si>
  <si>
    <t>HON2</t>
  </si>
  <si>
    <t>HON3</t>
  </si>
  <si>
    <t>HON4</t>
  </si>
  <si>
    <t>HON5</t>
  </si>
  <si>
    <t>04.09.01.023-5</t>
  </si>
  <si>
    <t>NEFROLITOTOMIA PERCUTÂNEA</t>
  </si>
  <si>
    <t>04.09.01.017-0</t>
  </si>
  <si>
    <t>INSTALAÇÃO ENDOSCÓPICA DE CATETER DUPLO J</t>
  </si>
  <si>
    <t>04.09.01.014-6</t>
  </si>
  <si>
    <t>EXTRAÇÃO ENDOSCÓPICA DE CÁLCULO EM PELVE RENAL</t>
  </si>
  <si>
    <t>04.09.01.059-6</t>
  </si>
  <si>
    <t>URETEROLITOTRIPSIA TRANSURETEROSCÓPICA</t>
  </si>
  <si>
    <t>04.09.01.018-9</t>
  </si>
  <si>
    <t>LITOTRIPSIA</t>
  </si>
  <si>
    <t>04.09.03.004-0</t>
  </si>
  <si>
    <t>RESSECÇÃO ENDOSCÓPICA DE PRÓSTATA</t>
  </si>
  <si>
    <t>04.09.01.038-3</t>
  </si>
  <si>
    <t>RESSECCAO ENDOSCOPICA DE LESÃO VESICAL</t>
  </si>
  <si>
    <t>04.09.03.002-3</t>
  </si>
  <si>
    <t>PROSTATECTOMIA SUPRAPÚBICA</t>
  </si>
  <si>
    <t>04.09.04.021-5</t>
  </si>
  <si>
    <t>TRATAMENTO CIRÚRGICO DE HIDROCELE</t>
  </si>
  <si>
    <t>04.09.04.019-3</t>
  </si>
  <si>
    <t>RESSECÇÃO PARCIAL DABOLSA ESCROTAL</t>
  </si>
  <si>
    <t>04.09.04.017-7</t>
  </si>
  <si>
    <t>PLÁSTICA DA BOLSAESCROTAL</t>
  </si>
  <si>
    <t>04.09.05.008-3</t>
  </si>
  <si>
    <t>POSTECTOMIA</t>
  </si>
  <si>
    <t>04.09.04.024-0</t>
  </si>
  <si>
    <t>VASECTOMIA</t>
  </si>
  <si>
    <t>04.09.04.013-4</t>
  </si>
  <si>
    <t>ORQUIDOPEXIA UNILATERAL</t>
  </si>
  <si>
    <t>04.09.04.012-6</t>
  </si>
  <si>
    <t>ORQUIDOPEXIA BILATERAL</t>
  </si>
  <si>
    <t>04.09.01.006-5</t>
  </si>
  <si>
    <t>CISTOLITOTOMIA E/OU RETIRADA DE CORPO ESTRANHO DA BEXIGA</t>
  </si>
  <si>
    <t>04.09.05.007-5</t>
  </si>
  <si>
    <t>PLASTICA TOTAL DO PENIS</t>
  </si>
  <si>
    <t>04.09.04.016-9</t>
  </si>
  <si>
    <t>ORQUIECTOMIA UNILATERAL</t>
  </si>
  <si>
    <t>04.09.01.032-4</t>
  </si>
  <si>
    <t>PIELOPLASTIA</t>
  </si>
  <si>
    <t>04.09.01.057-0</t>
  </si>
  <si>
    <t>URETEROPLASTIA</t>
  </si>
  <si>
    <t>04.09.01.021-9</t>
  </si>
  <si>
    <t>NEFRECTOMIA TOTAL</t>
  </si>
  <si>
    <t>04.09.01.020-0</t>
  </si>
  <si>
    <t>NEFRECTOMIA PARCIAL</t>
  </si>
  <si>
    <t>04.09.01.022-7</t>
  </si>
  <si>
    <t>NEFROLITOTOMIA</t>
  </si>
  <si>
    <t>04.09.01.029-4</t>
  </si>
  <si>
    <t>NEFROSTOMIA PERCUTÂNEA</t>
  </si>
  <si>
    <t>04.09.02.017-6</t>
  </si>
  <si>
    <t>URETROTOMIA INTERNA</t>
  </si>
  <si>
    <t>04.09.04.023-1</t>
  </si>
  <si>
    <t>TRATAMENTO CIRÚRGICO DE VARICOCELE</t>
  </si>
  <si>
    <t>04.09.01.056-1</t>
  </si>
  <si>
    <t>URETEROLITOTOMIA</t>
  </si>
  <si>
    <t>04.09.02.007-9</t>
  </si>
  <si>
    <t>MEATOTOMIA SIMPLES</t>
  </si>
  <si>
    <t>04.09.07.014-9</t>
  </si>
  <si>
    <t>EXERESE DE CISTO VAGINAL</t>
  </si>
  <si>
    <t>04.08.06.031-0</t>
  </si>
  <si>
    <t>RESSECÇÃO SIMPLES DE TUMOR ÓSSEO / DE PARTES MOLES</t>
  </si>
  <si>
    <t>04.09.07.027-0</t>
  </si>
  <si>
    <t>TRATAMENTO CIRURGICO DE INCONTINÊNCIA URINÁRIA POR VIA VAGINAL</t>
  </si>
  <si>
    <t>04.09.01.008-1</t>
  </si>
  <si>
    <t>CISTORRAFIA</t>
  </si>
  <si>
    <t>04.09.01.009-0</t>
  </si>
  <si>
    <t>CISTOSTOMIA</t>
  </si>
  <si>
    <t>04.09.04.009-6</t>
  </si>
  <si>
    <t>EXPLORACAO CIRURGICA DA BOLSA ESCROTAL</t>
  </si>
  <si>
    <t>04.06.02.054-0</t>
  </si>
  <si>
    <t>TRATAMENTO CIRÚRGICO DE LESÕES VASCULARES TRAUMÁTICAS DO ABDÔMEN</t>
  </si>
  <si>
    <t>04.09.07.005-0</t>
  </si>
  <si>
    <t>COLPOPERINEOPLASTIA ANTERIOR E POSTERIOR</t>
  </si>
  <si>
    <t>04.09.04.003-7</t>
  </si>
  <si>
    <t>EPIDIDIMECTOMIA</t>
  </si>
  <si>
    <t>04.07.04.010-2</t>
  </si>
  <si>
    <t>HERNIOPLASTIA INGUINAL / CRURAL (UNILATERAL)</t>
  </si>
  <si>
    <t>04.07.04.009-9</t>
  </si>
  <si>
    <t>HERNIOPLASTIA INGUINAL (BILATERAL)</t>
  </si>
  <si>
    <t>04.09.01.031-6</t>
  </si>
  <si>
    <t>PIELOLITOTOMIA</t>
  </si>
  <si>
    <t>04.09.02.015-0</t>
  </si>
  <si>
    <t>URETRORRAFIA</t>
  </si>
  <si>
    <t>04.01.02.010-0</t>
  </si>
  <si>
    <t>EXTIRPAÇÃOE SUPRESSÃO DE LESÃO DE PELE E DE TECIDO CELULAR SUBCUTÂNEO</t>
  </si>
  <si>
    <t>04.15.04.002-7</t>
  </si>
  <si>
    <t>DEBRIDAMENTO DE FASCEITE NECROTIZANTE</t>
  </si>
  <si>
    <t>04.09.04.007-0</t>
  </si>
  <si>
    <t>EXÈRESE DE CISTO DE EPIDÍDIMO</t>
  </si>
  <si>
    <t>04.09.04.001-0</t>
  </si>
  <si>
    <t>DRENAGEM DE ABSCESSO DA BOLSA ESCROTAL</t>
  </si>
  <si>
    <t>04.09.04.005-3</t>
  </si>
  <si>
    <t>ESPERMATOCELECTOMIA</t>
  </si>
  <si>
    <t>04.09.05.003-2</t>
  </si>
  <si>
    <t>CORRECAO DE HIPOSPADIA (1º TEMPO)</t>
  </si>
  <si>
    <t>04.09.02.013-3</t>
  </si>
  <si>
    <t>URETROPLASTIA AUTÓGENA</t>
  </si>
  <si>
    <t>04.09.02.010-9</t>
  </si>
  <si>
    <t>RESSECÇÃO E FECHAMENTO DE FÍSTULA URETRAL</t>
  </si>
  <si>
    <t>04.09.04.018-5</t>
  </si>
  <si>
    <t>REPARAÇÃO E OPERAÇÃO PLÁSTICA DO TESTÍCULO</t>
  </si>
  <si>
    <t>04.01.02.005-3</t>
  </si>
  <si>
    <t>EXCISÃO E SUTURA DE LESAO NA PELE C/ PLÁSTICA EM Z OU ROTAÇÃO DE RETALHO</t>
  </si>
  <si>
    <t>04.09.01.051-0</t>
  </si>
  <si>
    <t>TRATAMENTO CIRÚRGICO DE URETEROCELE</t>
  </si>
  <si>
    <t>04.09.02.012-5</t>
  </si>
  <si>
    <t>URETROPLASTIA (RESSECÇÃO DE CORDA)</t>
  </si>
  <si>
    <t>04.09.01.002-2</t>
  </si>
  <si>
    <t>CISTECTOMIA PARCIAL</t>
  </si>
  <si>
    <t>04.09.01.036-7</t>
  </si>
  <si>
    <t>RESSECÇÃO DO COLOVESICAL / TUMOR VESICAL A CÉU ABERTO</t>
  </si>
  <si>
    <t>04.09.07.025-4</t>
  </si>
  <si>
    <t>TRATAMENTO CIRURGICO DE FISTULA VESICO-VAGINAL</t>
  </si>
  <si>
    <t>04.07.04.001-3</t>
  </si>
  <si>
    <t>DRENAGEM DE ABSCESSO PÉLVICO</t>
  </si>
  <si>
    <t>04.01.02.004-5</t>
  </si>
  <si>
    <t>EXCISÃO E ENXERTO DE PELE (HEMANGIOMA, NEVUS OU TUMOR )</t>
  </si>
  <si>
    <t>04.09.01.013-8</t>
  </si>
  <si>
    <t>DRENAGEM DE ABSCESSO RENAL / PERI-RENAL</t>
  </si>
  <si>
    <t>04.09.01.028-6</t>
  </si>
  <si>
    <t>NEFROSTOMIA COM OU SEM DRENAGEM</t>
  </si>
  <si>
    <t>04.09.04.008-8</t>
  </si>
  <si>
    <t>EXÉRESE DE LESÃO DO CORDÃO ESPERMÁTICO</t>
  </si>
  <si>
    <t>04.07.04.003-0</t>
  </si>
  <si>
    <t>DRENAGEM DE HEMATOMA / ABSCESSO PRE-PERITONEAL</t>
  </si>
  <si>
    <t>04.09.02.008-7</t>
  </si>
  <si>
    <t>RESSECÇÃO DE CARÚNCULAURETRAL.</t>
  </si>
  <si>
    <t>04.09.01.052-9</t>
  </si>
  <si>
    <t>URETERECTOMIA</t>
  </si>
  <si>
    <t>04.09.01.053-7</t>
  </si>
  <si>
    <t>URETEROCISTONEOSTOMIA</t>
  </si>
  <si>
    <t>04.09.01.037-5</t>
  </si>
  <si>
    <t>RESSECÇÃO ENDOSCÓPICADA EXTREMIDADE DISTAL DO URETER</t>
  </si>
  <si>
    <t>04.09.01.034-0</t>
  </si>
  <si>
    <t>PIELOTOMIA</t>
  </si>
  <si>
    <t>04.09.02.016-8</t>
  </si>
  <si>
    <t>URETROSTOMIA PERINEAL / CUTÂNEA / EXTERNA</t>
  </si>
  <si>
    <t>04.09.02.009-5</t>
  </si>
  <si>
    <t>RESSECCAO DE PROLAPSO DA MUCOSA DA URETRA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</si>
</sst>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K9" sqref="K9"/>
    </sheetView>
  </sheetViews>
  <sheetFormatPr defaultRowHeight="15" x14ac:dyDescent="0.25"/>
  <cols>
    <col min="1" max="1" width="20.7109375" bestFit="1" customWidth="1"/>
    <col min="2" max="2" width="75" bestFit="1" customWidth="1"/>
    <col min="3" max="3" width="6.140625" bestFit="1" customWidth="1"/>
    <col min="4" max="4" width="8.7109375" bestFit="1" customWidth="1"/>
    <col min="5" max="7" width="6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1000</v>
      </c>
      <c r="D2">
        <v>750</v>
      </c>
      <c r="E2">
        <v>600</v>
      </c>
      <c r="F2">
        <v>500</v>
      </c>
      <c r="G2">
        <v>500</v>
      </c>
    </row>
    <row r="3" spans="1:7" x14ac:dyDescent="0.25">
      <c r="A3" t="s">
        <v>9</v>
      </c>
      <c r="B3" t="s">
        <v>10</v>
      </c>
      <c r="C3">
        <v>250</v>
      </c>
      <c r="D3">
        <v>100</v>
      </c>
      <c r="E3">
        <v>100</v>
      </c>
      <c r="F3">
        <v>100</v>
      </c>
      <c r="G3">
        <v>100</v>
      </c>
    </row>
    <row r="4" spans="1:7" x14ac:dyDescent="0.25">
      <c r="A4" t="s">
        <v>11</v>
      </c>
      <c r="B4" t="s">
        <v>12</v>
      </c>
      <c r="C4">
        <v>300</v>
      </c>
      <c r="D4">
        <v>300</v>
      </c>
      <c r="E4">
        <v>300</v>
      </c>
      <c r="F4">
        <v>300</v>
      </c>
      <c r="G4">
        <v>300</v>
      </c>
    </row>
    <row r="5" spans="1:7" x14ac:dyDescent="0.25">
      <c r="A5" t="s">
        <v>13</v>
      </c>
      <c r="B5" t="s">
        <v>14</v>
      </c>
      <c r="C5">
        <v>900</v>
      </c>
      <c r="D5">
        <v>200</v>
      </c>
      <c r="E5">
        <v>200</v>
      </c>
      <c r="F5">
        <v>200</v>
      </c>
      <c r="G5">
        <v>200</v>
      </c>
    </row>
    <row r="6" spans="1:7" x14ac:dyDescent="0.25">
      <c r="A6" t="s">
        <v>15</v>
      </c>
      <c r="B6" t="s">
        <v>16</v>
      </c>
      <c r="C6">
        <v>1000</v>
      </c>
      <c r="D6">
        <v>200</v>
      </c>
      <c r="E6">
        <v>200</v>
      </c>
      <c r="F6">
        <v>200</v>
      </c>
      <c r="G6">
        <v>200</v>
      </c>
    </row>
    <row r="7" spans="1:7" x14ac:dyDescent="0.25">
      <c r="A7" t="s">
        <v>17</v>
      </c>
      <c r="B7" t="s">
        <v>18</v>
      </c>
      <c r="C7">
        <v>1000</v>
      </c>
      <c r="D7">
        <v>300</v>
      </c>
      <c r="E7">
        <v>250</v>
      </c>
      <c r="F7">
        <v>200</v>
      </c>
      <c r="G7">
        <v>200</v>
      </c>
    </row>
    <row r="8" spans="1:7" x14ac:dyDescent="0.25">
      <c r="A8" t="s">
        <v>19</v>
      </c>
      <c r="B8" t="s">
        <v>20</v>
      </c>
      <c r="C8">
        <v>200</v>
      </c>
      <c r="D8">
        <v>200</v>
      </c>
      <c r="E8">
        <v>200</v>
      </c>
      <c r="F8">
        <v>200</v>
      </c>
      <c r="G8">
        <v>200</v>
      </c>
    </row>
    <row r="9" spans="1:7" x14ac:dyDescent="0.25">
      <c r="A9" t="s">
        <v>21</v>
      </c>
      <c r="B9" t="s">
        <v>22</v>
      </c>
      <c r="C9">
        <v>1000</v>
      </c>
      <c r="D9">
        <v>300</v>
      </c>
      <c r="E9">
        <v>250</v>
      </c>
      <c r="F9">
        <v>200</v>
      </c>
      <c r="G9">
        <v>200</v>
      </c>
    </row>
    <row r="10" spans="1:7" x14ac:dyDescent="0.25">
      <c r="A10" t="s">
        <v>23</v>
      </c>
      <c r="B10" t="s">
        <v>24</v>
      </c>
      <c r="C10">
        <v>300</v>
      </c>
      <c r="D10">
        <v>225</v>
      </c>
      <c r="E10">
        <v>180</v>
      </c>
      <c r="F10">
        <v>150</v>
      </c>
      <c r="G10">
        <v>150</v>
      </c>
    </row>
    <row r="11" spans="1:7" x14ac:dyDescent="0.25">
      <c r="A11" t="s">
        <v>25</v>
      </c>
      <c r="B11" t="s">
        <v>26</v>
      </c>
      <c r="C11">
        <v>200</v>
      </c>
      <c r="D11">
        <v>150</v>
      </c>
      <c r="E11">
        <v>120</v>
      </c>
      <c r="F11">
        <v>100</v>
      </c>
      <c r="G11">
        <v>100</v>
      </c>
    </row>
    <row r="12" spans="1:7" x14ac:dyDescent="0.25">
      <c r="A12" t="s">
        <v>27</v>
      </c>
      <c r="B12" t="s">
        <v>28</v>
      </c>
      <c r="C12">
        <v>200</v>
      </c>
      <c r="D12">
        <v>150</v>
      </c>
      <c r="E12">
        <v>120</v>
      </c>
      <c r="F12">
        <v>100</v>
      </c>
      <c r="G12">
        <v>100</v>
      </c>
    </row>
    <row r="13" spans="1:7" x14ac:dyDescent="0.25">
      <c r="A13" t="s">
        <v>29</v>
      </c>
      <c r="B13" t="s">
        <v>30</v>
      </c>
      <c r="C13">
        <v>250</v>
      </c>
      <c r="D13">
        <v>187.5</v>
      </c>
      <c r="E13">
        <v>150</v>
      </c>
      <c r="F13">
        <v>125</v>
      </c>
      <c r="G13">
        <v>125</v>
      </c>
    </row>
    <row r="14" spans="1:7" x14ac:dyDescent="0.25">
      <c r="A14" t="s">
        <v>31</v>
      </c>
      <c r="B14" t="s">
        <v>32</v>
      </c>
      <c r="C14">
        <v>450</v>
      </c>
      <c r="D14">
        <v>337.5</v>
      </c>
      <c r="E14">
        <v>270</v>
      </c>
      <c r="F14">
        <v>225</v>
      </c>
      <c r="G14">
        <v>225</v>
      </c>
    </row>
    <row r="15" spans="1:7" x14ac:dyDescent="0.25">
      <c r="A15" t="s">
        <v>33</v>
      </c>
      <c r="B15" t="s">
        <v>34</v>
      </c>
      <c r="C15">
        <v>400</v>
      </c>
      <c r="D15">
        <v>300</v>
      </c>
      <c r="E15">
        <v>240</v>
      </c>
      <c r="F15">
        <v>200</v>
      </c>
      <c r="G15">
        <v>200</v>
      </c>
    </row>
    <row r="16" spans="1:7" x14ac:dyDescent="0.25">
      <c r="A16" t="s">
        <v>35</v>
      </c>
      <c r="B16" t="s">
        <v>36</v>
      </c>
      <c r="C16">
        <v>450</v>
      </c>
      <c r="D16">
        <v>337.5</v>
      </c>
      <c r="E16">
        <v>270</v>
      </c>
      <c r="F16">
        <v>225</v>
      </c>
      <c r="G16">
        <v>225</v>
      </c>
    </row>
    <row r="17" spans="1:7" x14ac:dyDescent="0.25">
      <c r="A17" t="s">
        <v>37</v>
      </c>
      <c r="B17" t="s">
        <v>38</v>
      </c>
      <c r="C17">
        <v>600</v>
      </c>
      <c r="D17">
        <v>375</v>
      </c>
      <c r="E17">
        <v>300</v>
      </c>
      <c r="F17">
        <v>250</v>
      </c>
      <c r="G17">
        <v>250</v>
      </c>
    </row>
    <row r="18" spans="1:7" x14ac:dyDescent="0.25">
      <c r="A18" t="s">
        <v>39</v>
      </c>
      <c r="B18" t="s">
        <v>40</v>
      </c>
      <c r="C18">
        <v>500</v>
      </c>
      <c r="D18">
        <v>375</v>
      </c>
      <c r="E18">
        <v>300</v>
      </c>
      <c r="F18">
        <v>250</v>
      </c>
      <c r="G18">
        <v>250</v>
      </c>
    </row>
    <row r="19" spans="1:7" x14ac:dyDescent="0.25">
      <c r="A19" t="s">
        <v>41</v>
      </c>
      <c r="B19" t="s">
        <v>42</v>
      </c>
      <c r="C19">
        <v>500</v>
      </c>
      <c r="D19">
        <v>250</v>
      </c>
      <c r="E19">
        <v>200</v>
      </c>
      <c r="F19">
        <v>150</v>
      </c>
      <c r="G19">
        <v>150</v>
      </c>
    </row>
    <row r="20" spans="1:7" x14ac:dyDescent="0.25">
      <c r="A20" t="s">
        <v>43</v>
      </c>
      <c r="B20" t="s">
        <v>44</v>
      </c>
      <c r="C20">
        <v>700</v>
      </c>
      <c r="D20">
        <v>350</v>
      </c>
      <c r="E20">
        <v>300</v>
      </c>
      <c r="F20">
        <v>200</v>
      </c>
      <c r="G20">
        <v>200</v>
      </c>
    </row>
    <row r="21" spans="1:7" x14ac:dyDescent="0.25">
      <c r="A21" t="s">
        <v>45</v>
      </c>
      <c r="B21" t="s">
        <v>46</v>
      </c>
      <c r="C21">
        <v>500</v>
      </c>
      <c r="D21">
        <v>375</v>
      </c>
      <c r="E21">
        <v>300</v>
      </c>
      <c r="F21">
        <v>250</v>
      </c>
      <c r="G21">
        <v>250</v>
      </c>
    </row>
    <row r="22" spans="1:7" x14ac:dyDescent="0.25">
      <c r="A22" t="s">
        <v>47</v>
      </c>
      <c r="B22" t="s">
        <v>48</v>
      </c>
      <c r="C22">
        <v>1200</v>
      </c>
      <c r="D22">
        <v>800</v>
      </c>
      <c r="E22">
        <v>600</v>
      </c>
      <c r="F22">
        <v>400</v>
      </c>
      <c r="G22">
        <v>400</v>
      </c>
    </row>
    <row r="23" spans="1:7" x14ac:dyDescent="0.25">
      <c r="A23" t="s">
        <v>49</v>
      </c>
      <c r="B23" t="s">
        <v>50</v>
      </c>
      <c r="C23">
        <v>1000</v>
      </c>
      <c r="D23">
        <v>700</v>
      </c>
      <c r="E23">
        <v>500</v>
      </c>
      <c r="F23">
        <v>300</v>
      </c>
      <c r="G23">
        <v>300</v>
      </c>
    </row>
    <row r="24" spans="1:7" x14ac:dyDescent="0.25">
      <c r="A24" t="s">
        <v>51</v>
      </c>
      <c r="B24" t="s">
        <v>52</v>
      </c>
      <c r="C24">
        <v>900</v>
      </c>
      <c r="D24">
        <v>600</v>
      </c>
      <c r="E24">
        <v>400</v>
      </c>
      <c r="F24">
        <v>250</v>
      </c>
      <c r="G24">
        <v>250</v>
      </c>
    </row>
    <row r="25" spans="1:7" x14ac:dyDescent="0.25">
      <c r="A25" t="s">
        <v>53</v>
      </c>
      <c r="B25" t="s">
        <v>54</v>
      </c>
      <c r="C25">
        <v>400</v>
      </c>
      <c r="D25">
        <v>300</v>
      </c>
      <c r="E25">
        <v>240</v>
      </c>
      <c r="F25">
        <v>200</v>
      </c>
      <c r="G25">
        <v>200</v>
      </c>
    </row>
    <row r="26" spans="1:7" x14ac:dyDescent="0.25">
      <c r="A26" t="s">
        <v>55</v>
      </c>
      <c r="B26" t="s">
        <v>56</v>
      </c>
      <c r="C26">
        <v>250</v>
      </c>
      <c r="D26">
        <v>200</v>
      </c>
      <c r="E26">
        <v>175</v>
      </c>
      <c r="F26">
        <v>150</v>
      </c>
      <c r="G26">
        <v>150</v>
      </c>
    </row>
    <row r="27" spans="1:7" x14ac:dyDescent="0.25">
      <c r="A27" t="s">
        <v>57</v>
      </c>
      <c r="B27" t="s">
        <v>58</v>
      </c>
      <c r="C27">
        <v>250</v>
      </c>
      <c r="D27">
        <v>200</v>
      </c>
      <c r="E27">
        <v>175</v>
      </c>
      <c r="F27">
        <v>150</v>
      </c>
      <c r="G27">
        <v>150</v>
      </c>
    </row>
    <row r="28" spans="1:7" x14ac:dyDescent="0.25">
      <c r="A28" t="s">
        <v>59</v>
      </c>
      <c r="B28" t="s">
        <v>60</v>
      </c>
      <c r="C28">
        <v>250</v>
      </c>
      <c r="D28">
        <v>200</v>
      </c>
      <c r="E28">
        <v>175</v>
      </c>
      <c r="F28">
        <v>150</v>
      </c>
      <c r="G28">
        <v>150</v>
      </c>
    </row>
    <row r="29" spans="1:7" x14ac:dyDescent="0.25">
      <c r="A29" t="s">
        <v>61</v>
      </c>
      <c r="B29" t="s">
        <v>62</v>
      </c>
      <c r="C29">
        <v>250</v>
      </c>
      <c r="D29">
        <v>200</v>
      </c>
      <c r="E29">
        <v>175</v>
      </c>
      <c r="F29">
        <v>150</v>
      </c>
      <c r="G29">
        <v>150</v>
      </c>
    </row>
    <row r="30" spans="1:7" x14ac:dyDescent="0.25">
      <c r="A30" t="s">
        <v>55</v>
      </c>
      <c r="B30" t="s">
        <v>56</v>
      </c>
      <c r="C30">
        <v>250</v>
      </c>
      <c r="D30">
        <v>200</v>
      </c>
      <c r="E30">
        <v>175</v>
      </c>
      <c r="F30">
        <v>150</v>
      </c>
      <c r="G30">
        <v>150</v>
      </c>
    </row>
    <row r="31" spans="1:7" x14ac:dyDescent="0.25">
      <c r="A31" t="s">
        <v>63</v>
      </c>
      <c r="B31" t="s">
        <v>64</v>
      </c>
      <c r="C31">
        <v>250</v>
      </c>
      <c r="D31">
        <v>200</v>
      </c>
      <c r="E31">
        <v>175</v>
      </c>
      <c r="F31">
        <v>150</v>
      </c>
      <c r="G31">
        <v>150</v>
      </c>
    </row>
    <row r="32" spans="1:7" x14ac:dyDescent="0.25">
      <c r="A32" t="s">
        <v>65</v>
      </c>
      <c r="B32" t="s">
        <v>66</v>
      </c>
      <c r="C32">
        <v>250</v>
      </c>
      <c r="D32">
        <v>200</v>
      </c>
      <c r="E32">
        <v>175</v>
      </c>
      <c r="F32">
        <v>150</v>
      </c>
      <c r="G32">
        <v>150</v>
      </c>
    </row>
    <row r="33" spans="1:7" x14ac:dyDescent="0.25">
      <c r="A33" t="s">
        <v>67</v>
      </c>
      <c r="B33" t="s">
        <v>68</v>
      </c>
      <c r="C33">
        <v>450</v>
      </c>
      <c r="D33">
        <v>337.5</v>
      </c>
      <c r="E33">
        <v>270</v>
      </c>
      <c r="F33">
        <v>225</v>
      </c>
      <c r="G33">
        <v>225</v>
      </c>
    </row>
    <row r="34" spans="1:7" x14ac:dyDescent="0.25">
      <c r="A34" t="s">
        <v>69</v>
      </c>
      <c r="B34" t="s">
        <v>70</v>
      </c>
      <c r="C34">
        <v>250</v>
      </c>
      <c r="D34">
        <v>200</v>
      </c>
      <c r="E34">
        <v>175</v>
      </c>
      <c r="F34">
        <v>150</v>
      </c>
      <c r="G34">
        <v>150</v>
      </c>
    </row>
    <row r="35" spans="1:7" x14ac:dyDescent="0.25">
      <c r="A35" t="s">
        <v>71</v>
      </c>
      <c r="B35" t="s">
        <v>72</v>
      </c>
      <c r="C35">
        <v>250</v>
      </c>
      <c r="D35">
        <v>200</v>
      </c>
      <c r="E35">
        <v>175</v>
      </c>
      <c r="F35">
        <v>150</v>
      </c>
      <c r="G35">
        <v>150</v>
      </c>
    </row>
    <row r="36" spans="1:7" x14ac:dyDescent="0.25">
      <c r="A36" t="s">
        <v>73</v>
      </c>
      <c r="B36" t="s">
        <v>74</v>
      </c>
      <c r="C36">
        <v>100</v>
      </c>
      <c r="D36">
        <v>100</v>
      </c>
      <c r="E36">
        <v>100</v>
      </c>
      <c r="F36">
        <v>100</v>
      </c>
      <c r="G36">
        <v>100</v>
      </c>
    </row>
    <row r="37" spans="1:7" x14ac:dyDescent="0.25">
      <c r="A37" t="s">
        <v>75</v>
      </c>
      <c r="B37" t="s">
        <v>76</v>
      </c>
      <c r="C37">
        <v>800</v>
      </c>
      <c r="D37">
        <v>600</v>
      </c>
      <c r="E37">
        <v>480</v>
      </c>
      <c r="F37">
        <v>400</v>
      </c>
      <c r="G37">
        <v>400</v>
      </c>
    </row>
    <row r="38" spans="1:7" x14ac:dyDescent="0.25">
      <c r="A38" t="s">
        <v>77</v>
      </c>
      <c r="B38" t="s">
        <v>78</v>
      </c>
      <c r="C38">
        <v>600</v>
      </c>
      <c r="D38">
        <v>450</v>
      </c>
      <c r="E38">
        <v>360</v>
      </c>
      <c r="F38">
        <v>300</v>
      </c>
      <c r="G38">
        <v>300</v>
      </c>
    </row>
    <row r="39" spans="1:7" x14ac:dyDescent="0.25">
      <c r="A39" t="s">
        <v>79</v>
      </c>
      <c r="B39" t="s">
        <v>80</v>
      </c>
      <c r="C39">
        <v>200</v>
      </c>
      <c r="D39">
        <v>150</v>
      </c>
      <c r="E39">
        <v>120</v>
      </c>
      <c r="F39">
        <v>100</v>
      </c>
      <c r="G39">
        <v>100</v>
      </c>
    </row>
    <row r="40" spans="1:7" x14ac:dyDescent="0.25">
      <c r="A40" t="s">
        <v>81</v>
      </c>
      <c r="B40" t="s">
        <v>82</v>
      </c>
      <c r="C40">
        <v>700</v>
      </c>
      <c r="D40">
        <v>300</v>
      </c>
      <c r="E40">
        <v>300</v>
      </c>
      <c r="F40">
        <v>300</v>
      </c>
      <c r="G40">
        <v>300</v>
      </c>
    </row>
    <row r="41" spans="1:7" x14ac:dyDescent="0.25">
      <c r="A41" t="s">
        <v>83</v>
      </c>
      <c r="B41" t="s">
        <v>84</v>
      </c>
      <c r="C41">
        <v>700</v>
      </c>
      <c r="D41">
        <v>300</v>
      </c>
      <c r="E41">
        <v>300</v>
      </c>
      <c r="F41">
        <v>300</v>
      </c>
      <c r="G41">
        <v>300</v>
      </c>
    </row>
    <row r="42" spans="1:7" x14ac:dyDescent="0.25">
      <c r="A42" t="s">
        <v>85</v>
      </c>
      <c r="B42" t="s">
        <v>86</v>
      </c>
      <c r="C42">
        <v>100</v>
      </c>
      <c r="D42">
        <v>100</v>
      </c>
      <c r="E42">
        <v>100</v>
      </c>
      <c r="F42">
        <v>100</v>
      </c>
      <c r="G42">
        <v>100</v>
      </c>
    </row>
    <row r="43" spans="1:7" x14ac:dyDescent="0.25">
      <c r="A43" t="s">
        <v>87</v>
      </c>
      <c r="B43" t="s">
        <v>88</v>
      </c>
      <c r="C43">
        <v>100</v>
      </c>
      <c r="D43">
        <v>50</v>
      </c>
      <c r="E43">
        <v>50</v>
      </c>
      <c r="F43">
        <v>50</v>
      </c>
      <c r="G43">
        <v>50</v>
      </c>
    </row>
    <row r="44" spans="1:7" x14ac:dyDescent="0.25">
      <c r="A44" t="s">
        <v>89</v>
      </c>
      <c r="B44" t="s">
        <v>90</v>
      </c>
      <c r="C44">
        <v>60</v>
      </c>
      <c r="D44">
        <v>50</v>
      </c>
      <c r="E44">
        <v>40</v>
      </c>
      <c r="F44">
        <v>30</v>
      </c>
      <c r="G44">
        <v>30</v>
      </c>
    </row>
    <row r="45" spans="1:7" x14ac:dyDescent="0.25">
      <c r="A45" t="s">
        <v>91</v>
      </c>
      <c r="B45" t="s">
        <v>92</v>
      </c>
      <c r="C45">
        <v>400</v>
      </c>
      <c r="D45" t="e">
        <f>B45*0.75</f>
        <v>#VALUE!</v>
      </c>
      <c r="E45">
        <v>240</v>
      </c>
      <c r="F45">
        <v>200</v>
      </c>
      <c r="G45">
        <v>200</v>
      </c>
    </row>
    <row r="46" spans="1:7" x14ac:dyDescent="0.25">
      <c r="A46" t="s">
        <v>93</v>
      </c>
      <c r="B46" t="s">
        <v>94</v>
      </c>
      <c r="C46">
        <v>200</v>
      </c>
      <c r="D46">
        <v>150</v>
      </c>
      <c r="E46">
        <v>120</v>
      </c>
      <c r="F46">
        <v>100</v>
      </c>
      <c r="G46">
        <v>100</v>
      </c>
    </row>
    <row r="47" spans="1:7" x14ac:dyDescent="0.25">
      <c r="A47" t="s">
        <v>95</v>
      </c>
      <c r="B47" t="s">
        <v>96</v>
      </c>
      <c r="C47">
        <v>200</v>
      </c>
      <c r="D47">
        <v>150</v>
      </c>
      <c r="E47">
        <v>120</v>
      </c>
      <c r="F47">
        <v>100</v>
      </c>
      <c r="G47">
        <v>100</v>
      </c>
    </row>
    <row r="48" spans="1:7" x14ac:dyDescent="0.25">
      <c r="A48" t="s">
        <v>97</v>
      </c>
      <c r="B48" t="s">
        <v>98</v>
      </c>
      <c r="C48">
        <v>200</v>
      </c>
      <c r="D48">
        <v>150</v>
      </c>
      <c r="E48">
        <v>120</v>
      </c>
      <c r="F48">
        <v>100</v>
      </c>
      <c r="G48">
        <v>100</v>
      </c>
    </row>
    <row r="49" spans="1:7" x14ac:dyDescent="0.25">
      <c r="A49" t="s">
        <v>99</v>
      </c>
      <c r="B49" t="s">
        <v>100</v>
      </c>
      <c r="C49">
        <v>300</v>
      </c>
      <c r="D49">
        <f>300*0.75</f>
        <v>225</v>
      </c>
      <c r="E49">
        <v>180</v>
      </c>
      <c r="F49">
        <v>150</v>
      </c>
      <c r="G49">
        <v>150</v>
      </c>
    </row>
    <row r="50" spans="1:7" x14ac:dyDescent="0.25">
      <c r="A50" t="s">
        <v>101</v>
      </c>
      <c r="B50" t="s">
        <v>102</v>
      </c>
      <c r="C50">
        <v>1000</v>
      </c>
      <c r="D50">
        <v>750</v>
      </c>
      <c r="E50">
        <v>600</v>
      </c>
      <c r="F50">
        <v>500</v>
      </c>
      <c r="G50">
        <v>500</v>
      </c>
    </row>
    <row r="51" spans="1:7" x14ac:dyDescent="0.25">
      <c r="A51" t="s">
        <v>103</v>
      </c>
      <c r="B51" t="s">
        <v>104</v>
      </c>
      <c r="C51">
        <v>300</v>
      </c>
      <c r="D51">
        <v>225</v>
      </c>
      <c r="E51">
        <v>180</v>
      </c>
      <c r="F51">
        <v>150</v>
      </c>
      <c r="G51">
        <v>150</v>
      </c>
    </row>
    <row r="52" spans="1:7" x14ac:dyDescent="0.25">
      <c r="A52" t="s">
        <v>105</v>
      </c>
      <c r="B52" t="s">
        <v>106</v>
      </c>
      <c r="C52">
        <v>200</v>
      </c>
      <c r="D52">
        <v>150</v>
      </c>
      <c r="E52">
        <v>120</v>
      </c>
      <c r="F52">
        <v>100</v>
      </c>
      <c r="G52">
        <v>100</v>
      </c>
    </row>
    <row r="53" spans="1:7" x14ac:dyDescent="0.25">
      <c r="A53" t="s">
        <v>107</v>
      </c>
      <c r="B53" t="s">
        <v>108</v>
      </c>
      <c r="C53">
        <v>150</v>
      </c>
      <c r="D53">
        <v>112.5</v>
      </c>
      <c r="E53">
        <v>90</v>
      </c>
      <c r="F53">
        <v>75</v>
      </c>
      <c r="G53">
        <v>75</v>
      </c>
    </row>
    <row r="54" spans="1:7" x14ac:dyDescent="0.25">
      <c r="A54" t="s">
        <v>109</v>
      </c>
      <c r="B54" t="s">
        <v>110</v>
      </c>
      <c r="C54">
        <v>200</v>
      </c>
      <c r="D54">
        <v>150</v>
      </c>
      <c r="E54">
        <v>120</v>
      </c>
      <c r="F54">
        <v>100</v>
      </c>
      <c r="G54">
        <v>100</v>
      </c>
    </row>
    <row r="55" spans="1:7" x14ac:dyDescent="0.25">
      <c r="A55" t="s">
        <v>111</v>
      </c>
      <c r="B55" t="s">
        <v>112</v>
      </c>
      <c r="C55">
        <v>100</v>
      </c>
      <c r="D55">
        <v>75</v>
      </c>
      <c r="E55">
        <v>60</v>
      </c>
      <c r="F55">
        <v>50</v>
      </c>
      <c r="G55">
        <v>50</v>
      </c>
    </row>
    <row r="56" spans="1:7" x14ac:dyDescent="0.25">
      <c r="A56" t="s">
        <v>113</v>
      </c>
      <c r="B56" t="s">
        <v>114</v>
      </c>
      <c r="C56">
        <v>250</v>
      </c>
      <c r="D56">
        <v>200</v>
      </c>
      <c r="E56">
        <v>175</v>
      </c>
      <c r="F56">
        <v>150</v>
      </c>
      <c r="G56">
        <v>150</v>
      </c>
    </row>
    <row r="57" spans="1:7" x14ac:dyDescent="0.25">
      <c r="A57" t="s">
        <v>115</v>
      </c>
      <c r="B57" t="s">
        <v>116</v>
      </c>
      <c r="C57">
        <v>400</v>
      </c>
      <c r="D57">
        <v>300</v>
      </c>
      <c r="E57">
        <v>240</v>
      </c>
      <c r="F57">
        <v>200</v>
      </c>
      <c r="G57">
        <v>200</v>
      </c>
    </row>
    <row r="58" spans="1:7" x14ac:dyDescent="0.25">
      <c r="A58" t="s">
        <v>117</v>
      </c>
      <c r="B58" t="s">
        <v>118</v>
      </c>
      <c r="C58">
        <v>800</v>
      </c>
      <c r="D58">
        <v>600</v>
      </c>
      <c r="E58">
        <v>480</v>
      </c>
      <c r="F58">
        <v>400</v>
      </c>
      <c r="G58">
        <v>400</v>
      </c>
    </row>
    <row r="59" spans="1:7" x14ac:dyDescent="0.25">
      <c r="A59" t="s">
        <v>119</v>
      </c>
      <c r="B59" t="s">
        <v>120</v>
      </c>
      <c r="C59">
        <v>300</v>
      </c>
      <c r="D59">
        <v>225</v>
      </c>
      <c r="E59">
        <v>180</v>
      </c>
      <c r="F59">
        <v>150</v>
      </c>
      <c r="G59">
        <v>150</v>
      </c>
    </row>
    <row r="60" spans="1:7" x14ac:dyDescent="0.25">
      <c r="A60" t="s">
        <v>121</v>
      </c>
      <c r="B60" t="s">
        <v>122</v>
      </c>
      <c r="C60">
        <v>250</v>
      </c>
      <c r="D60">
        <v>200</v>
      </c>
      <c r="E60">
        <v>175</v>
      </c>
      <c r="F60">
        <v>150</v>
      </c>
      <c r="G60">
        <v>150</v>
      </c>
    </row>
    <row r="61" spans="1:7" x14ac:dyDescent="0.25">
      <c r="A61" t="s">
        <v>123</v>
      </c>
      <c r="B61" t="s">
        <v>124</v>
      </c>
      <c r="C61">
        <v>200</v>
      </c>
      <c r="D61">
        <v>150</v>
      </c>
      <c r="E61">
        <v>120</v>
      </c>
      <c r="F61">
        <v>100</v>
      </c>
      <c r="G61">
        <v>100</v>
      </c>
    </row>
    <row r="62" spans="1:7" x14ac:dyDescent="0.25">
      <c r="A62" t="s">
        <v>125</v>
      </c>
      <c r="B62" t="s">
        <v>126</v>
      </c>
      <c r="C62">
        <v>300</v>
      </c>
      <c r="D62">
        <v>225</v>
      </c>
      <c r="E62">
        <v>180</v>
      </c>
      <c r="F62">
        <v>150</v>
      </c>
      <c r="G62">
        <v>150</v>
      </c>
    </row>
    <row r="63" spans="1:7" x14ac:dyDescent="0.25">
      <c r="A63" t="s">
        <v>127</v>
      </c>
      <c r="B63" t="s">
        <v>128</v>
      </c>
      <c r="C63">
        <v>100</v>
      </c>
      <c r="D63">
        <v>75</v>
      </c>
      <c r="E63">
        <v>60</v>
      </c>
      <c r="F63">
        <v>50</v>
      </c>
      <c r="G63">
        <v>50</v>
      </c>
    </row>
    <row r="64" spans="1:7" x14ac:dyDescent="0.25">
      <c r="A64" t="s">
        <v>129</v>
      </c>
      <c r="B64" t="s">
        <v>130</v>
      </c>
      <c r="C64">
        <v>150</v>
      </c>
      <c r="D64">
        <v>112.5</v>
      </c>
      <c r="E64">
        <v>90</v>
      </c>
      <c r="F64">
        <v>75</v>
      </c>
      <c r="G64">
        <v>75</v>
      </c>
    </row>
    <row r="65" spans="1:7" x14ac:dyDescent="0.25">
      <c r="A65" t="s">
        <v>131</v>
      </c>
      <c r="B65" t="s">
        <v>132</v>
      </c>
      <c r="C65">
        <v>100</v>
      </c>
      <c r="D65">
        <v>75</v>
      </c>
      <c r="E65">
        <v>60</v>
      </c>
      <c r="F65">
        <v>50</v>
      </c>
      <c r="G65">
        <v>50</v>
      </c>
    </row>
    <row r="66" spans="1:7" x14ac:dyDescent="0.25">
      <c r="A66" t="s">
        <v>133</v>
      </c>
      <c r="B66" t="s">
        <v>134</v>
      </c>
      <c r="C66">
        <v>300</v>
      </c>
      <c r="D66">
        <v>250</v>
      </c>
      <c r="E66">
        <v>200</v>
      </c>
      <c r="F66">
        <v>150</v>
      </c>
      <c r="G66">
        <v>150</v>
      </c>
    </row>
    <row r="67" spans="1:7" x14ac:dyDescent="0.25">
      <c r="A67" t="s">
        <v>135</v>
      </c>
      <c r="B67" t="s">
        <v>136</v>
      </c>
      <c r="C67">
        <v>300</v>
      </c>
      <c r="D67">
        <v>250</v>
      </c>
      <c r="E67">
        <v>200</v>
      </c>
      <c r="F67">
        <v>150</v>
      </c>
      <c r="G67">
        <v>150</v>
      </c>
    </row>
    <row r="68" spans="1:7" x14ac:dyDescent="0.25">
      <c r="A68" t="s">
        <v>137</v>
      </c>
      <c r="B68" t="s">
        <v>138</v>
      </c>
      <c r="C68">
        <v>150</v>
      </c>
      <c r="D68">
        <v>112.5</v>
      </c>
      <c r="E68">
        <v>90</v>
      </c>
      <c r="F68">
        <v>75</v>
      </c>
      <c r="G68">
        <v>75</v>
      </c>
    </row>
    <row r="69" spans="1:7" x14ac:dyDescent="0.25">
      <c r="A69" t="s">
        <v>139</v>
      </c>
      <c r="B69" t="s">
        <v>140</v>
      </c>
      <c r="C69">
        <v>100</v>
      </c>
      <c r="D69">
        <v>100</v>
      </c>
      <c r="E69">
        <v>100</v>
      </c>
      <c r="F69">
        <v>100</v>
      </c>
      <c r="G69">
        <v>100</v>
      </c>
    </row>
    <row r="70" spans="1:7" x14ac:dyDescent="0.25">
      <c r="A70" t="s">
        <v>141</v>
      </c>
      <c r="B70" t="s">
        <v>142</v>
      </c>
      <c r="C70">
        <v>150</v>
      </c>
      <c r="D70">
        <v>112.5</v>
      </c>
      <c r="E70">
        <v>90</v>
      </c>
      <c r="F70">
        <v>75</v>
      </c>
      <c r="G70">
        <v>75</v>
      </c>
    </row>
    <row r="71" spans="1:7" x14ac:dyDescent="0.25">
      <c r="A71" t="s">
        <v>143</v>
      </c>
      <c r="B71" t="s">
        <v>144</v>
      </c>
      <c r="C71">
        <v>100</v>
      </c>
      <c r="D71">
        <v>75</v>
      </c>
      <c r="E71">
        <v>60</v>
      </c>
      <c r="F71">
        <v>50</v>
      </c>
      <c r="G71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Procedimentos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Opme</cp:lastModifiedBy>
  <dcterms:created xsi:type="dcterms:W3CDTF">2025-12-18T20:28:58Z</dcterms:created>
  <dcterms:modified xsi:type="dcterms:W3CDTF">2025-12-18T20:39:25Z</dcterms:modified>
</cp:coreProperties>
</file>