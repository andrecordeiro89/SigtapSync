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S051\Desktop\"/>
    </mc:Choice>
  </mc:AlternateContent>
  <xr:revisionPtr revIDLastSave="0" documentId="8_{0F42B894-A1C2-4C2F-8BB8-995B93E66B5E}" xr6:coauthVersionLast="47" xr6:coauthVersionMax="47" xr10:uidLastSave="{00000000-0000-0000-0000-000000000000}"/>
  <bookViews>
    <workbookView xWindow="-108" yWindow="-108" windowWidth="23256" windowHeight="12456" xr2:uid="{62BE47AB-D231-46F0-9C29-5F8187A0EFCB}"/>
  </bookViews>
  <sheets>
    <sheet name="Honorários Gine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2" i="1" l="1"/>
  <c r="C32" i="1"/>
  <c r="D31" i="1"/>
  <c r="C31" i="1"/>
  <c r="D27" i="1"/>
  <c r="C27" i="1"/>
  <c r="C25" i="1"/>
  <c r="C23" i="1"/>
  <c r="D17" i="1"/>
  <c r="C17" i="1"/>
  <c r="D16" i="1"/>
  <c r="C16" i="1"/>
  <c r="D14" i="1"/>
  <c r="C14" i="1"/>
  <c r="D13" i="1"/>
  <c r="C13" i="1"/>
  <c r="D12" i="1"/>
  <c r="C12" i="1"/>
  <c r="D11" i="1"/>
  <c r="C11" i="1"/>
  <c r="C9" i="1"/>
  <c r="C7" i="1"/>
  <c r="D6" i="1"/>
  <c r="C6" i="1"/>
  <c r="D5" i="1"/>
  <c r="C5" i="1"/>
  <c r="D4" i="1"/>
  <c r="C4" i="1"/>
  <c r="D3" i="1"/>
  <c r="C3" i="1"/>
</calcChain>
</file>

<file path=xl/sharedStrings.xml><?xml version="1.0" encoding="utf-8"?>
<sst xmlns="http://schemas.openxmlformats.org/spreadsheetml/2006/main" count="37" uniqueCount="37">
  <si>
    <t>PROCEDIMENTOS</t>
  </si>
  <si>
    <t>HON1</t>
  </si>
  <si>
    <t>HON2</t>
  </si>
  <si>
    <t>HON3</t>
  </si>
  <si>
    <t>HON4</t>
  </si>
  <si>
    <t>HON5</t>
  </si>
  <si>
    <t>04.09.06.013-5 HISTERECTOMIA TOTAL</t>
  </si>
  <si>
    <t>04.09.06.012-7 HISTERECTOMIA SUBTOTAL</t>
  </si>
  <si>
    <t>04.09.06.011-9 HISTERECTOMIA C/ ANEXECTOMIA (UNI / BILATERAL)</t>
  </si>
  <si>
    <t>04.09.06.021-6 OOFORECTOMIA / OOFOROPLASTIA</t>
  </si>
  <si>
    <t>04.09.06.023-2 SALPINGECTOMIA UNI / BILATERAL</t>
  </si>
  <si>
    <t>04.09.06.018-6 LAQUEADURA TUBARIA</t>
  </si>
  <si>
    <t>04.09.07.027-0 TRATAMENTO CIRURGICO DE INCONTINÊNCIA URINÁRIA POR VIA VAGINAL</t>
  </si>
  <si>
    <t>04.09.07.006-8 COLPOPERINEOPLASTIA POSTERIOR</t>
  </si>
  <si>
    <t>04.09.07.005-0 COLPOPERINEOPLASTIA ANTERIOR E POSTERIOR</t>
  </si>
  <si>
    <t>04.09.06.004-6 CURETAGEM SEMIOTICA C/ OU S/ DILATACAO DO COLO DO UTERO</t>
  </si>
  <si>
    <t>04.09.07.026-2 TRATAMENTO CIRURGICO DE HIPERTROFIA DOS PEQUENOS LABIOS</t>
  </si>
  <si>
    <t>04.08.06.031-0 RESSECÇÃO SIMPLES DE TUMOR ÓSSEO / DE PARTES MOLES</t>
  </si>
  <si>
    <t>04.09.07.015-7 EXERESE DE GLÂNDULA DE BARTHOLIN / SKENE</t>
  </si>
  <si>
    <t>04.09.07.003-3 - COLPOCLEISE (CIRURGIA DE LE FORT)</t>
  </si>
  <si>
    <t>04.09.07.014-9 EXERESE DE CISTO VAGINAL</t>
  </si>
  <si>
    <t>04.09.06.019-4 - MIOMECTOMIA</t>
  </si>
  <si>
    <t>04.09.06.022-4 RESSECCAO DE VARIZES PELVICAS</t>
  </si>
  <si>
    <t>04.07.04.018-8 LIBERAÇÃO DE ADERÊNCIAS INTESTINAIS</t>
  </si>
  <si>
    <t>04.09.07.009-2 - COLPORRAFIA NAO OBSTETRICA</t>
  </si>
  <si>
    <t>04.01.02.010-0 EXTIRPAÇÃOE SUPRESSÃO DE LESÃO DE PELE E DE TECIDO CELULAR SUBCUTÂNEO</t>
  </si>
  <si>
    <t>04.11.01.007-7 SUTURA DE LACERACOES DE TRAJETO PELVICO</t>
  </si>
  <si>
    <t>04.09.06.002-0 COLPOPERINEOPLASTIA ANTERIOR E POSTERIOR C/ AMPUTACAO DE COLO</t>
  </si>
  <si>
    <t>04.09.07.009-2 COLPORRAFIA NAO OBSTETRICA</t>
  </si>
  <si>
    <t>04.09.06.019-4 MIOMECTOMIA</t>
  </si>
  <si>
    <t>04.09.07.007-6 COLPOPERINEORRAFIA NAO OBSTETRICA</t>
  </si>
  <si>
    <t>04.09.07.019-0 MARSUPIALIZACAO DE GLÂNDULA DE BARTOLIN</t>
  </si>
  <si>
    <t>04.09.07.003-3 COLPOCLEISE (CIRURGIA DE LE FORT)</t>
  </si>
  <si>
    <t>04.09.06.010-0 HISTERECTOMIA (POR VIA VAGINAL)</t>
  </si>
  <si>
    <t>04.09.06.003-8 EXCISÃO TIPO 3 DO COLO UTERINO</t>
  </si>
  <si>
    <t>04.08.06.020-4 REINSERÇÃO MUSCULAR</t>
  </si>
  <si>
    <t>04.09.02.015-0 URETRORRAFIA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</si>
</sst>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31D24-D9CE-4CAA-BECE-9CEC3660B5D6}">
  <dimension ref="A1:F998"/>
  <sheetViews>
    <sheetView tabSelected="1" workbookViewId="0">
      <selection activeCell="H14" sqref="H14"/>
    </sheetView>
  </sheetViews>
  <sheetFormatPr defaultColWidth="12.5703125" defaultRowHeight="15" x14ac:dyDescent="0.25"/>
  <cols>
    <col min="1" max="1" width="95" bestFit="1" customWidth="1"/>
  </cols>
  <sheetData>
    <row r="1" spans="1:6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2">
        <v>1000</v>
      </c>
      <c r="C2" s="2">
        <v>750</v>
      </c>
      <c r="D2" s="2">
        <v>600</v>
      </c>
      <c r="E2" s="2">
        <v>500</v>
      </c>
      <c r="F2" s="2">
        <v>500</v>
      </c>
    </row>
    <row r="3" spans="1:6" x14ac:dyDescent="0.25">
      <c r="A3" s="1" t="s">
        <v>7</v>
      </c>
      <c r="B3" s="2">
        <v>750</v>
      </c>
      <c r="C3" s="2">
        <f t="shared" ref="C3:C4" si="0">B3*0.75</f>
        <v>562.5</v>
      </c>
      <c r="D3" s="2">
        <f t="shared" ref="D3:D4" si="1">B3*0.6</f>
        <v>450</v>
      </c>
      <c r="E3" s="2">
        <v>375</v>
      </c>
      <c r="F3" s="2">
        <v>375</v>
      </c>
    </row>
    <row r="4" spans="1:6" x14ac:dyDescent="0.25">
      <c r="A4" s="1" t="s">
        <v>8</v>
      </c>
      <c r="B4" s="2">
        <v>1200</v>
      </c>
      <c r="C4" s="2">
        <f t="shared" si="0"/>
        <v>900</v>
      </c>
      <c r="D4" s="2">
        <f t="shared" si="1"/>
        <v>720</v>
      </c>
      <c r="E4" s="2">
        <v>600</v>
      </c>
      <c r="F4" s="2">
        <v>600</v>
      </c>
    </row>
    <row r="5" spans="1:6" x14ac:dyDescent="0.25">
      <c r="A5" s="1" t="s">
        <v>9</v>
      </c>
      <c r="B5" s="2">
        <v>700</v>
      </c>
      <c r="C5" s="2">
        <f>700*0.75</f>
        <v>525</v>
      </c>
      <c r="D5" s="2">
        <f>700*0.6</f>
        <v>420</v>
      </c>
      <c r="E5" s="2">
        <v>350</v>
      </c>
      <c r="F5" s="2">
        <v>350</v>
      </c>
    </row>
    <row r="6" spans="1:6" x14ac:dyDescent="0.25">
      <c r="A6" s="1" t="s">
        <v>10</v>
      </c>
      <c r="B6" s="2">
        <v>250</v>
      </c>
      <c r="C6" s="2">
        <f t="shared" ref="C6:C7" si="2">B6*0.75</f>
        <v>187.5</v>
      </c>
      <c r="D6" s="2">
        <f>B6*0.6</f>
        <v>150</v>
      </c>
      <c r="E6" s="2">
        <v>125</v>
      </c>
      <c r="F6" s="2">
        <v>125</v>
      </c>
    </row>
    <row r="7" spans="1:6" x14ac:dyDescent="0.25">
      <c r="A7" s="1" t="s">
        <v>11</v>
      </c>
      <c r="B7" s="2">
        <v>600</v>
      </c>
      <c r="C7" s="2">
        <f t="shared" si="2"/>
        <v>450</v>
      </c>
      <c r="D7" s="2">
        <v>360</v>
      </c>
      <c r="E7" s="2">
        <v>300</v>
      </c>
      <c r="F7" s="2">
        <v>300</v>
      </c>
    </row>
    <row r="8" spans="1:6" x14ac:dyDescent="0.25">
      <c r="A8" s="1" t="s">
        <v>12</v>
      </c>
      <c r="B8" s="2">
        <v>450</v>
      </c>
      <c r="C8" s="2">
        <v>250</v>
      </c>
      <c r="D8" s="2">
        <v>200</v>
      </c>
      <c r="E8" s="2">
        <v>180</v>
      </c>
      <c r="F8" s="2">
        <v>180</v>
      </c>
    </row>
    <row r="9" spans="1:6" x14ac:dyDescent="0.25">
      <c r="A9" s="1" t="s">
        <v>13</v>
      </c>
      <c r="B9" s="2">
        <v>450</v>
      </c>
      <c r="C9" s="2">
        <f>B9*0.75</f>
        <v>337.5</v>
      </c>
      <c r="D9" s="2">
        <v>360</v>
      </c>
      <c r="E9" s="2">
        <v>225</v>
      </c>
      <c r="F9" s="2">
        <v>225</v>
      </c>
    </row>
    <row r="10" spans="1:6" x14ac:dyDescent="0.25">
      <c r="A10" s="1" t="s">
        <v>14</v>
      </c>
      <c r="B10" s="2">
        <v>600</v>
      </c>
      <c r="C10" s="2">
        <v>450</v>
      </c>
      <c r="D10" s="2">
        <v>360</v>
      </c>
      <c r="E10" s="2">
        <v>300</v>
      </c>
      <c r="F10" s="2">
        <v>300</v>
      </c>
    </row>
    <row r="11" spans="1:6" x14ac:dyDescent="0.25">
      <c r="A11" s="1" t="s">
        <v>15</v>
      </c>
      <c r="B11" s="2">
        <v>250</v>
      </c>
      <c r="C11" s="2">
        <f t="shared" ref="C11:C14" si="3">B11*0.75</f>
        <v>187.5</v>
      </c>
      <c r="D11" s="2">
        <f t="shared" ref="D11:D14" si="4">B11*0.6</f>
        <v>150</v>
      </c>
      <c r="E11" s="2">
        <v>125</v>
      </c>
      <c r="F11" s="2">
        <v>125</v>
      </c>
    </row>
    <row r="12" spans="1:6" x14ac:dyDescent="0.25">
      <c r="A12" s="1" t="s">
        <v>16</v>
      </c>
      <c r="B12" s="2">
        <v>250</v>
      </c>
      <c r="C12" s="2">
        <f t="shared" si="3"/>
        <v>187.5</v>
      </c>
      <c r="D12" s="2">
        <f t="shared" si="4"/>
        <v>150</v>
      </c>
      <c r="E12" s="2">
        <v>125</v>
      </c>
      <c r="F12" s="2">
        <v>125</v>
      </c>
    </row>
    <row r="13" spans="1:6" x14ac:dyDescent="0.25">
      <c r="A13" s="1" t="s">
        <v>17</v>
      </c>
      <c r="B13" s="2">
        <v>250</v>
      </c>
      <c r="C13" s="2">
        <f t="shared" si="3"/>
        <v>187.5</v>
      </c>
      <c r="D13" s="2">
        <f t="shared" si="4"/>
        <v>150</v>
      </c>
      <c r="E13" s="2">
        <v>125</v>
      </c>
      <c r="F13" s="2">
        <v>125</v>
      </c>
    </row>
    <row r="14" spans="1:6" x14ac:dyDescent="0.25">
      <c r="A14" s="1" t="s">
        <v>18</v>
      </c>
      <c r="B14" s="2">
        <v>250</v>
      </c>
      <c r="C14" s="2">
        <f t="shared" si="3"/>
        <v>187.5</v>
      </c>
      <c r="D14" s="2">
        <f t="shared" si="4"/>
        <v>150</v>
      </c>
      <c r="E14" s="2">
        <v>125</v>
      </c>
      <c r="F14" s="2">
        <v>125</v>
      </c>
    </row>
    <row r="15" spans="1:6" x14ac:dyDescent="0.25">
      <c r="A15" s="1" t="s">
        <v>19</v>
      </c>
      <c r="B15" s="2">
        <v>250</v>
      </c>
      <c r="C15" s="2">
        <v>187.5</v>
      </c>
      <c r="D15" s="2">
        <v>150</v>
      </c>
      <c r="E15" s="2">
        <v>125</v>
      </c>
      <c r="F15" s="2">
        <v>125</v>
      </c>
    </row>
    <row r="16" spans="1:6" x14ac:dyDescent="0.25">
      <c r="A16" s="1" t="s">
        <v>20</v>
      </c>
      <c r="B16" s="2">
        <v>300</v>
      </c>
      <c r="C16" s="2">
        <f t="shared" ref="C16:C17" si="5">B16*0.75</f>
        <v>225</v>
      </c>
      <c r="D16" s="2">
        <f t="shared" ref="D16:D17" si="6">B16*0.6</f>
        <v>180</v>
      </c>
      <c r="E16" s="2">
        <v>125</v>
      </c>
      <c r="F16" s="2">
        <v>125</v>
      </c>
    </row>
    <row r="17" spans="1:6" x14ac:dyDescent="0.25">
      <c r="A17" s="1" t="s">
        <v>21</v>
      </c>
      <c r="B17" s="2">
        <v>550</v>
      </c>
      <c r="C17" s="2">
        <f t="shared" si="5"/>
        <v>412.5</v>
      </c>
      <c r="D17" s="2">
        <f t="shared" si="6"/>
        <v>330</v>
      </c>
      <c r="E17" s="2">
        <v>275</v>
      </c>
      <c r="F17" s="2">
        <v>275</v>
      </c>
    </row>
    <row r="18" spans="1:6" x14ac:dyDescent="0.25">
      <c r="A18" s="1" t="s">
        <v>22</v>
      </c>
      <c r="B18" s="2">
        <v>100</v>
      </c>
      <c r="C18" s="2">
        <v>100</v>
      </c>
      <c r="D18" s="2">
        <v>100</v>
      </c>
      <c r="E18" s="2">
        <v>100</v>
      </c>
      <c r="F18" s="2">
        <v>100</v>
      </c>
    </row>
    <row r="19" spans="1:6" x14ac:dyDescent="0.25">
      <c r="A19" s="1" t="s">
        <v>23</v>
      </c>
      <c r="B19" s="2">
        <v>300</v>
      </c>
      <c r="C19" s="2">
        <v>300</v>
      </c>
      <c r="D19" s="2">
        <v>300</v>
      </c>
      <c r="E19" s="2">
        <v>300</v>
      </c>
      <c r="F19" s="2">
        <v>300</v>
      </c>
    </row>
    <row r="20" spans="1:6" x14ac:dyDescent="0.25">
      <c r="A20" s="1" t="s">
        <v>24</v>
      </c>
      <c r="B20" s="2">
        <v>100</v>
      </c>
      <c r="C20" s="2">
        <v>100</v>
      </c>
      <c r="D20" s="2">
        <v>100</v>
      </c>
      <c r="E20" s="2">
        <v>100</v>
      </c>
      <c r="F20" s="2">
        <v>100</v>
      </c>
    </row>
    <row r="21" spans="1:6" x14ac:dyDescent="0.25">
      <c r="A21" s="1" t="s">
        <v>25</v>
      </c>
      <c r="B21" s="2">
        <v>150</v>
      </c>
      <c r="C21" s="2">
        <v>100</v>
      </c>
      <c r="D21" s="2">
        <v>80</v>
      </c>
      <c r="E21" s="2">
        <v>50</v>
      </c>
      <c r="F21" s="2">
        <v>50</v>
      </c>
    </row>
    <row r="22" spans="1:6" x14ac:dyDescent="0.25">
      <c r="A22" s="1" t="s">
        <v>26</v>
      </c>
      <c r="B22" s="2">
        <v>100</v>
      </c>
      <c r="C22" s="2">
        <v>75</v>
      </c>
      <c r="D22" s="2">
        <v>60</v>
      </c>
      <c r="E22" s="2">
        <v>50</v>
      </c>
      <c r="F22" s="2">
        <v>50</v>
      </c>
    </row>
    <row r="23" spans="1:6" x14ac:dyDescent="0.25">
      <c r="A23" s="1" t="s">
        <v>27</v>
      </c>
      <c r="B23" s="2">
        <v>450</v>
      </c>
      <c r="C23" s="2">
        <f>B23*0.75</f>
        <v>337.5</v>
      </c>
      <c r="D23" s="2">
        <v>360</v>
      </c>
      <c r="E23" s="2">
        <v>225</v>
      </c>
      <c r="F23" s="2">
        <v>225</v>
      </c>
    </row>
    <row r="24" spans="1:6" x14ac:dyDescent="0.25">
      <c r="A24" s="1" t="s">
        <v>28</v>
      </c>
      <c r="B24" s="2">
        <v>200</v>
      </c>
      <c r="C24" s="2">
        <v>150</v>
      </c>
      <c r="D24" s="2">
        <v>120</v>
      </c>
      <c r="E24" s="2">
        <v>100</v>
      </c>
      <c r="F24" s="2">
        <v>100</v>
      </c>
    </row>
    <row r="25" spans="1:6" x14ac:dyDescent="0.25">
      <c r="A25" s="1" t="s">
        <v>29</v>
      </c>
      <c r="B25" s="2">
        <v>500</v>
      </c>
      <c r="C25" s="2">
        <f>B25*0.75</f>
        <v>375</v>
      </c>
      <c r="D25" s="2">
        <v>300</v>
      </c>
      <c r="E25" s="2">
        <v>250</v>
      </c>
      <c r="F25" s="2">
        <v>250</v>
      </c>
    </row>
    <row r="26" spans="1:6" x14ac:dyDescent="0.25">
      <c r="A26" s="1" t="s">
        <v>30</v>
      </c>
      <c r="B26" s="2">
        <v>300</v>
      </c>
      <c r="C26" s="2">
        <v>225</v>
      </c>
      <c r="D26" s="2">
        <v>180</v>
      </c>
      <c r="E26" s="2">
        <v>150</v>
      </c>
      <c r="F26" s="2">
        <v>150</v>
      </c>
    </row>
    <row r="27" spans="1:6" x14ac:dyDescent="0.25">
      <c r="A27" s="1" t="s">
        <v>31</v>
      </c>
      <c r="B27" s="2">
        <v>150</v>
      </c>
      <c r="C27" s="2">
        <f>B27*0.75</f>
        <v>112.5</v>
      </c>
      <c r="D27" s="2">
        <f>B27*0.6</f>
        <v>90</v>
      </c>
      <c r="E27" s="2">
        <v>75</v>
      </c>
      <c r="F27" s="2">
        <v>75</v>
      </c>
    </row>
    <row r="28" spans="1:6" x14ac:dyDescent="0.25">
      <c r="A28" s="1" t="s">
        <v>32</v>
      </c>
      <c r="B28" s="2">
        <v>250</v>
      </c>
      <c r="C28" s="2">
        <v>187.5</v>
      </c>
      <c r="D28" s="2">
        <v>150</v>
      </c>
      <c r="E28" s="2">
        <v>125</v>
      </c>
      <c r="F28" s="2">
        <v>125</v>
      </c>
    </row>
    <row r="29" spans="1:6" x14ac:dyDescent="0.25">
      <c r="A29" s="1" t="s">
        <v>33</v>
      </c>
      <c r="B29" s="2">
        <v>600</v>
      </c>
      <c r="C29" s="2">
        <v>550</v>
      </c>
      <c r="D29" s="2">
        <v>360</v>
      </c>
      <c r="E29" s="2">
        <v>300</v>
      </c>
      <c r="F29" s="2">
        <v>300</v>
      </c>
    </row>
    <row r="30" spans="1:6" x14ac:dyDescent="0.25">
      <c r="A30" s="1" t="s">
        <v>34</v>
      </c>
      <c r="B30" s="2">
        <v>300</v>
      </c>
      <c r="C30" s="2">
        <v>225</v>
      </c>
      <c r="D30" s="2">
        <v>180</v>
      </c>
      <c r="E30" s="2">
        <v>150</v>
      </c>
      <c r="F30" s="2">
        <v>150</v>
      </c>
    </row>
    <row r="31" spans="1:6" x14ac:dyDescent="0.25">
      <c r="A31" s="1" t="s">
        <v>35</v>
      </c>
      <c r="B31" s="2">
        <v>150</v>
      </c>
      <c r="C31" s="2">
        <f>B31*0.75</f>
        <v>112.5</v>
      </c>
      <c r="D31" s="2">
        <f>B31*0.6</f>
        <v>90</v>
      </c>
      <c r="E31" s="2">
        <v>75</v>
      </c>
      <c r="F31" s="2">
        <v>75</v>
      </c>
    </row>
    <row r="32" spans="1:6" x14ac:dyDescent="0.25">
      <c r="A32" s="1" t="s">
        <v>36</v>
      </c>
      <c r="B32" s="2">
        <v>150</v>
      </c>
      <c r="C32" s="2">
        <f>B32*0.75</f>
        <v>112.5</v>
      </c>
      <c r="D32" s="2">
        <f>B32*0.6</f>
        <v>90</v>
      </c>
      <c r="E32" s="2">
        <v>75</v>
      </c>
      <c r="F32" s="2">
        <v>75</v>
      </c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ht="15.75" customHeight="1" x14ac:dyDescent="0.25"/>
    <row r="995" spans="1:1" ht="15.75" customHeight="1" x14ac:dyDescent="0.25"/>
    <row r="996" spans="1:1" ht="15.75" customHeight="1" x14ac:dyDescent="0.25"/>
    <row r="997" spans="1:1" ht="15.75" customHeight="1" x14ac:dyDescent="0.25"/>
    <row r="998" spans="1:1" ht="15.75" customHeigh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Honorários Gineco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Médico 01</dc:creator>
  <cp:lastModifiedBy>Médico 01</cp:lastModifiedBy>
  <dcterms:created xsi:type="dcterms:W3CDTF">2025-12-02T20:23:20Z</dcterms:created>
  <dcterms:modified xsi:type="dcterms:W3CDTF">2025-12-02T20:24:30Z</dcterms:modified>
</cp:coreProperties>
</file>